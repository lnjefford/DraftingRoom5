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2026 Consolidated Statement" sheetId="1" r:id="rId1"/>
    <sheet name="Inputs and Summary" sheetId="2" r:id="rId2"/>
    <sheet name="Detailed Projections" sheetId="3" r:id="rId3"/>
    <sheet name="Class B Share Price History" sheetId="4" r:id="rId4"/>
  </sheets>
  <calcPr calcId="191029" calcMode="auto" fullCalcOnLoad="0" forceFullCalc="0" calcCompleted="1"/>
</workbook>
</file>

<file path=xl/_rels/workbook.xml.rels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/Relationships>
</file>

<file path=xl/worksheets/sheet1.xml><?xml version="1.0" encoding="utf-8"?>
<worksheet xmlns="http://schemas.openxmlformats.org/spreadsheetml/2006/main">
  <sheetData>
    <row r="6">
      <c r="E6" t="n">
        <f>10</f>
        <v>10</v>
      </c>
    </row>
    <row r="12">
      <c r="B12" t="inlineStr">
        <is>
          <t>Synthetic Class A</t>
        </is>
      </c>
      <c r="C12" t="n">
        <f>100</f>
        <v>100</v>
      </c>
      <c r="E12" t="n">
        <f>60</f>
        <v>60</v>
      </c>
      <c r="F12" t="n">
        <f>600</f>
        <v>600</v>
      </c>
      <c r="G12" t="n">
        <f>40</f>
        <v>40</v>
      </c>
      <c r="H12" t="n">
        <f>400</f>
        <v>400</v>
      </c>
      <c r="I12" t="n">
        <f>50</f>
        <v>50</v>
      </c>
      <c r="J12" t="n">
        <f>550</f>
        <v>550</v>
      </c>
      <c r="L12" t="n">
        <f>600</f>
        <v>600</v>
      </c>
      <c r="M12" t="n">
        <f>1000</f>
        <v>1000</v>
      </c>
    </row>
    <row r="19">
      <c r="C19" t="n">
        <f>100</f>
        <v>100</v>
      </c>
      <c r="E19" t="n">
        <f>60</f>
        <v>60</v>
      </c>
      <c r="F19" t="n">
        <f>600</f>
        <v>600</v>
      </c>
      <c r="G19" t="n">
        <f>40</f>
        <v>40</v>
      </c>
      <c r="H19" t="n">
        <f>400</f>
        <v>400</v>
      </c>
      <c r="I19" t="n">
        <f>50</f>
        <v>50</v>
      </c>
      <c r="J19" t="n">
        <f>550</f>
        <v>550</v>
      </c>
      <c r="L19" t="n">
        <f>600</f>
        <v>600</v>
      </c>
      <c r="M19" t="n">
        <f>1000</f>
        <v>1000</v>
      </c>
    </row>
  </sheetData>
</worksheet>
</file>

<file path=xl/worksheets/sheet2.xml><?xml version="1.0" encoding="utf-8"?>
<worksheet xmlns="http://schemas.openxmlformats.org/spreadsheetml/2006/main">
  <sheetData>
    <row r="9">
      <c r="C9" t="n">
        <f>1200</f>
        <v>1200</v>
      </c>
    </row>
    <row r="10">
      <c r="C10" t="n">
        <f>100</f>
        <v>100</v>
      </c>
    </row>
    <row r="11">
      <c r="C11" t="n">
        <f>1100</f>
        <v>1100</v>
      </c>
    </row>
    <row r="12">
      <c r="C12" t="n">
        <f>220</f>
        <v>220</v>
      </c>
    </row>
    <row r="13">
      <c r="C13" t="n">
        <f>880</f>
        <v>880</v>
      </c>
    </row>
    <row r="38">
      <c r="C38" t="inlineStr">
        <is>
          <t>2030-01-01</t>
        </is>
      </c>
    </row>
    <row r="41">
      <c r="C41" t="n">
        <f>0.1</f>
        <v>0.1</v>
      </c>
    </row>
    <row r="44">
      <c r="C44" t="inlineStr">
        <is>
          <t>Yes</t>
        </is>
      </c>
    </row>
    <row r="47">
      <c r="C47" t="n">
        <f>0.2</f>
        <v>0.2</v>
      </c>
    </row>
  </sheetData>
</worksheet>
</file>

<file path=xl/worksheets/sheet3.xml><?xml version="1.0" encoding="utf-8"?>
<worksheet xmlns="http://schemas.openxmlformats.org/spreadsheetml/2006/main">
  <sheetData>
    <row r="15">
      <c r="C15" t="n">
        <f>2026</f>
        <v>2026</v>
      </c>
    </row>
    <row r="19">
      <c r="C19" t="n">
        <f>10</f>
        <v>10</v>
      </c>
    </row>
    <row r="23">
      <c r="C23" t="n">
        <f>600</f>
        <v>600</v>
      </c>
    </row>
    <row r="24">
      <c r="C24" t="n">
        <f>400</f>
        <v>400</v>
      </c>
    </row>
    <row r="31">
      <c r="C31" t="n">
        <f>1000</f>
        <v>1000</v>
      </c>
    </row>
    <row r="36">
      <c r="C36" t="n">
        <f>50</f>
        <v>50</v>
      </c>
    </row>
    <row r="37">
      <c r="C37" t="n">
        <f>950</f>
        <v>950</v>
      </c>
    </row>
    <row r="46">
      <c r="C46" t="n">
        <f>500</f>
        <v>500</v>
      </c>
    </row>
    <row r="47">
      <c r="C47" t="n">
        <f>450</f>
        <v>450</v>
      </c>
    </row>
    <row r="48">
      <c r="C48" t="n">
        <f>90</f>
        <v>90</v>
      </c>
    </row>
    <row r="49">
      <c r="C49" t="n">
        <f>0</f>
        <v>0</v>
      </c>
    </row>
    <row r="51">
      <c r="C51" t="n">
        <f>860</f>
        <v>860</v>
      </c>
    </row>
  </sheetData>
</worksheet>
</file>

<file path=xl/worksheets/sheet4.xml><?xml version="1.0" encoding="utf-8"?>
<worksheet xmlns="http://schemas.openxmlformats.org/spreadsheetml/2006/main">
  <sheetData>
    <row r="8">
      <c r="D8" t="n">
        <f>0.1</f>
        <v>0.1</v>
      </c>
    </row>
    <row r="9">
      <c r="D9" t="n">
        <f>0.2</f>
        <v>0.2</v>
      </c>
    </row>
  </sheetData>
</worksheet>
</file>